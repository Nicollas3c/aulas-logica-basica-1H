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OGB\"/>
    </mc:Choice>
  </mc:AlternateContent>
  <xr:revisionPtr revIDLastSave="0" documentId="13_ncr:1_{58574723-5E04-413E-8A25-DFA7F3DFA3B3}" xr6:coauthVersionLast="36" xr6:coauthVersionMax="36" xr10:uidLastSave="{00000000-0000-0000-0000-000000000000}"/>
  <bookViews>
    <workbookView xWindow="0" yWindow="0" windowWidth="28800" windowHeight="12225" xr2:uid="{B9890FD6-D15A-4807-9F91-55081552D2DB}"/>
  </bookViews>
  <sheets>
    <sheet name="Planilha1" sheetId="1" r:id="rId1"/>
  </sheets>
  <definedNames>
    <definedName name="A999999999999999999">Planilha1!$A$443</definedName>
    <definedName name="AAAAAAAA1048576">Planilha1!$AJQ$1048576</definedName>
    <definedName name="ZZZZ">Planilha1!$A$1</definedName>
    <definedName name="ZZZZZZ1048576">Planilha1!$CCO$1048576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C1" i="1"/>
  <c r="D11" i="1" l="1"/>
  <c r="D10" i="1" l="1"/>
  <c r="D9" i="1"/>
  <c r="D8" i="1"/>
  <c r="D7" i="1"/>
  <c r="D6" i="1"/>
  <c r="D5" i="1"/>
  <c r="D4" i="1"/>
  <c r="E3" i="1"/>
  <c r="E4" i="1" l="1"/>
  <c r="E5" i="1" s="1"/>
  <c r="E6" i="1" s="1"/>
  <c r="E7" i="1" s="1"/>
  <c r="E8" i="1" s="1"/>
  <c r="E9" i="1" s="1"/>
  <c r="E10" i="1" s="1"/>
  <c r="A2" i="1" s="1"/>
  <c r="G5" i="1"/>
  <c r="H5" i="1" s="1"/>
  <c r="F4" i="1" l="1"/>
  <c r="G4" i="1" s="1"/>
  <c r="H4" i="1" s="1"/>
  <c r="G6" i="1"/>
  <c r="H6" i="1" s="1"/>
  <c r="G7" i="1" l="1"/>
  <c r="H7" i="1" s="1"/>
  <c r="G8" i="1" l="1"/>
  <c r="H8" i="1" s="1"/>
  <c r="G9" i="1" l="1"/>
  <c r="H9" i="1" s="1"/>
  <c r="G10" i="1" l="1"/>
  <c r="H10" i="1" s="1"/>
</calcChain>
</file>

<file path=xl/sharedStrings.xml><?xml version="1.0" encoding="utf-8"?>
<sst xmlns="http://schemas.openxmlformats.org/spreadsheetml/2006/main" count="22" uniqueCount="22">
  <si>
    <t>Valor_Saque</t>
  </si>
  <si>
    <t>Notas_200</t>
  </si>
  <si>
    <t>Notas_100</t>
  </si>
  <si>
    <t>Notas_50</t>
  </si>
  <si>
    <t>Notas_20</t>
  </si>
  <si>
    <t>Notas_10</t>
  </si>
  <si>
    <t>Notas_5</t>
  </si>
  <si>
    <t>Notas_2</t>
  </si>
  <si>
    <t>Resto</t>
  </si>
  <si>
    <t>Entregar_Reais</t>
  </si>
  <si>
    <t>Qt_Notas</t>
  </si>
  <si>
    <t>Qt_Inicial</t>
  </si>
  <si>
    <t>Valor_Face</t>
  </si>
  <si>
    <t>Reais_Disp</t>
  </si>
  <si>
    <t>Nova_Qt_Inicial</t>
  </si>
  <si>
    <t>Total R$</t>
  </si>
  <si>
    <t xml:space="preserve"> </t>
  </si>
  <si>
    <t>Mensagens:</t>
  </si>
  <si>
    <t>Valor do saque pode ser atendido - resto 0</t>
  </si>
  <si>
    <t>Valor do saque não pode ser atendido - resto 1</t>
  </si>
  <si>
    <t>Saque pode ser realizado (valor solicitado &lt;= disponível)</t>
  </si>
  <si>
    <t>Não é possível (valor superior ao disponível)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</si>
</sst>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ansSerif"/>
      <charset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3" fillId="0" borderId="0" xfId="1" applyNumberFormat="1" applyFont="1" applyFill="1" applyAlignment="1"/>
    <xf numFmtId="0" fontId="2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76FA-53BF-45D0-8E4E-DF08A64E7063}">
  <dimension ref="A1:I17"/>
  <sheetViews>
    <sheetView tabSelected="1" workbookViewId="0">
      <selection activeCell="F12" sqref="F12"/>
    </sheetView>
  </sheetViews>
  <sheetFormatPr defaultRowHeight="15" x14ac:dyDescent="0.25"/>
  <cols>
    <col min="1" max="1" width="16.42578125" customWidth="1"/>
    <col min="2" max="2" width="12.5703125" customWidth="1"/>
    <col min="3" max="3" width="11.140625" bestFit="1" customWidth="1"/>
    <col min="4" max="4" width="12.7109375" bestFit="1" customWidth="1"/>
    <col min="5" max="5" width="11.5703125" bestFit="1" customWidth="1"/>
    <col min="6" max="6" width="13.85546875" bestFit="1" customWidth="1"/>
    <col min="7" max="7" width="9.5703125" bestFit="1" customWidth="1"/>
    <col min="8" max="8" width="15.5703125" bestFit="1" customWidth="1"/>
  </cols>
  <sheetData>
    <row r="1" spans="1:9" x14ac:dyDescent="0.25">
      <c r="A1" s="1" t="s">
        <v>0</v>
      </c>
      <c r="B1" s="1">
        <v>17000</v>
      </c>
      <c r="C1" s="1" t="str">
        <f>IF(B1&gt;D11,A17,A16)</f>
        <v>Não é possível (valor superior ao disponível)</v>
      </c>
      <c r="D1" s="1"/>
      <c r="E1" s="1"/>
      <c r="F1" s="1"/>
      <c r="G1" s="1"/>
      <c r="H1" s="1"/>
      <c r="I1" s="2"/>
    </row>
    <row r="2" spans="1:9" x14ac:dyDescent="0.25">
      <c r="A2" s="1" t="str">
        <f>IF(E10&lt;1,A14,A15)</f>
        <v>Valor do saque não pode ser atendido - resto 1</v>
      </c>
      <c r="B2" s="1"/>
      <c r="C2" s="1"/>
      <c r="D2" s="1"/>
      <c r="E2" s="1" t="s">
        <v>8</v>
      </c>
      <c r="F2" s="1"/>
      <c r="G2" s="1"/>
      <c r="H2" s="1"/>
      <c r="I2" s="2"/>
    </row>
    <row r="3" spans="1:9" x14ac:dyDescent="0.25">
      <c r="A3" s="1"/>
      <c r="B3" s="1" t="s">
        <v>11</v>
      </c>
      <c r="C3" s="1" t="s">
        <v>12</v>
      </c>
      <c r="D3" s="1" t="s">
        <v>13</v>
      </c>
      <c r="E3" s="1">
        <f>B1</f>
        <v>17000</v>
      </c>
      <c r="F3" s="1" t="s">
        <v>9</v>
      </c>
      <c r="G3" s="1" t="s">
        <v>10</v>
      </c>
      <c r="H3" s="1" t="s">
        <v>14</v>
      </c>
      <c r="I3" s="2"/>
    </row>
    <row r="4" spans="1:9" x14ac:dyDescent="0.25">
      <c r="A4" s="1" t="s">
        <v>1</v>
      </c>
      <c r="B4" s="1">
        <v>13</v>
      </c>
      <c r="C4" s="1">
        <v>200</v>
      </c>
      <c r="D4" s="1">
        <f t="shared" ref="D4:D10" si="0">B4*C4</f>
        <v>2600</v>
      </c>
      <c r="E4" s="1">
        <f>IF(E3&gt;D4,E3-D4,MOD(E3,C4))</f>
        <v>14400</v>
      </c>
      <c r="F4" s="1">
        <f>E3-E4</f>
        <v>2600</v>
      </c>
      <c r="G4" s="1">
        <f>F4/C4</f>
        <v>13</v>
      </c>
      <c r="H4" s="1">
        <f t="shared" ref="H4:H10" si="1">B4-G4</f>
        <v>0</v>
      </c>
      <c r="I4" s="2"/>
    </row>
    <row r="5" spans="1:9" x14ac:dyDescent="0.25">
      <c r="A5" s="1" t="s">
        <v>2</v>
      </c>
      <c r="B5" s="1">
        <v>105</v>
      </c>
      <c r="C5" s="1">
        <v>100</v>
      </c>
      <c r="D5" s="1">
        <f t="shared" si="0"/>
        <v>10500</v>
      </c>
      <c r="E5" s="1">
        <f>IF(E4&gt;D5,E4-D5,MOD(E4,C5))</f>
        <v>3900</v>
      </c>
      <c r="F5" s="1">
        <f>E4-E5</f>
        <v>10500</v>
      </c>
      <c r="G5" s="1">
        <f t="shared" ref="G4:G10" si="2">F5/C5</f>
        <v>105</v>
      </c>
      <c r="H5" s="1">
        <f t="shared" si="1"/>
        <v>0</v>
      </c>
      <c r="I5" s="2"/>
    </row>
    <row r="6" spans="1:9" x14ac:dyDescent="0.25">
      <c r="A6" s="1" t="s">
        <v>3</v>
      </c>
      <c r="B6" s="1">
        <v>29</v>
      </c>
      <c r="C6" s="1">
        <v>50</v>
      </c>
      <c r="D6" s="1">
        <f t="shared" si="0"/>
        <v>1450</v>
      </c>
      <c r="E6" s="1">
        <f>IF(E5&gt;D6,E5-D6,MOD(E5,C6))</f>
        <v>2450</v>
      </c>
      <c r="F6" s="1">
        <f>E5-E6</f>
        <v>1450</v>
      </c>
      <c r="G6" s="1">
        <f t="shared" si="2"/>
        <v>29</v>
      </c>
      <c r="H6" s="1">
        <f t="shared" si="1"/>
        <v>0</v>
      </c>
      <c r="I6" s="2"/>
    </row>
    <row r="7" spans="1:9" x14ac:dyDescent="0.25">
      <c r="A7" s="1" t="s">
        <v>4</v>
      </c>
      <c r="B7" s="1">
        <v>66</v>
      </c>
      <c r="C7" s="1">
        <v>20</v>
      </c>
      <c r="D7" s="1">
        <f t="shared" si="0"/>
        <v>1320</v>
      </c>
      <c r="E7" s="1">
        <f>IF(E6&gt;D7,E6-D7,MOD(E6,C7))</f>
        <v>1130</v>
      </c>
      <c r="F7" s="1">
        <f>E6-E7</f>
        <v>1320</v>
      </c>
      <c r="G7" s="1">
        <f t="shared" si="2"/>
        <v>66</v>
      </c>
      <c r="H7" s="1">
        <f t="shared" si="1"/>
        <v>0</v>
      </c>
      <c r="I7" s="2"/>
    </row>
    <row r="8" spans="1:9" x14ac:dyDescent="0.25">
      <c r="A8" s="1" t="s">
        <v>5</v>
      </c>
      <c r="B8" s="1">
        <v>87</v>
      </c>
      <c r="C8" s="1">
        <v>10</v>
      </c>
      <c r="D8" s="1">
        <f t="shared" si="0"/>
        <v>870</v>
      </c>
      <c r="E8" s="1">
        <f>IF(E7&gt;D8,E7-D8,MOD(E7,C8))</f>
        <v>260</v>
      </c>
      <c r="F8" s="1">
        <f>E7-E8</f>
        <v>870</v>
      </c>
      <c r="G8" s="1">
        <f t="shared" si="2"/>
        <v>87</v>
      </c>
      <c r="H8" s="1">
        <f t="shared" si="1"/>
        <v>0</v>
      </c>
      <c r="I8" s="2"/>
    </row>
    <row r="9" spans="1:9" x14ac:dyDescent="0.25">
      <c r="A9" s="1" t="s">
        <v>6</v>
      </c>
      <c r="B9" s="1">
        <v>15</v>
      </c>
      <c r="C9" s="1">
        <v>5</v>
      </c>
      <c r="D9" s="1">
        <f t="shared" si="0"/>
        <v>75</v>
      </c>
      <c r="E9" s="1">
        <f>IF(E8&gt;D9,E8-D9,MOD(E8,C9))</f>
        <v>185</v>
      </c>
      <c r="F9" s="1">
        <f>E8-E9</f>
        <v>75</v>
      </c>
      <c r="G9" s="1">
        <f t="shared" si="2"/>
        <v>15</v>
      </c>
      <c r="H9" s="1">
        <f t="shared" si="1"/>
        <v>0</v>
      </c>
      <c r="I9" s="2"/>
    </row>
    <row r="10" spans="1:9" x14ac:dyDescent="0.25">
      <c r="A10" s="1" t="s">
        <v>7</v>
      </c>
      <c r="B10" s="1">
        <v>3</v>
      </c>
      <c r="C10" s="1">
        <v>2</v>
      </c>
      <c r="D10" s="1">
        <f t="shared" si="0"/>
        <v>6</v>
      </c>
      <c r="E10" s="1">
        <f>IF(E9&gt;D10,E9-D10,MOD(E9,C10))</f>
        <v>179</v>
      </c>
      <c r="F10" s="1">
        <f>E9-E10</f>
        <v>6</v>
      </c>
      <c r="G10" s="1">
        <f t="shared" si="2"/>
        <v>3</v>
      </c>
      <c r="H10" s="1">
        <f t="shared" si="1"/>
        <v>0</v>
      </c>
      <c r="I10" s="2"/>
    </row>
    <row r="11" spans="1:9" x14ac:dyDescent="0.25">
      <c r="A11" s="1"/>
      <c r="B11" s="1"/>
      <c r="C11" s="1" t="s">
        <v>15</v>
      </c>
      <c r="D11" s="1">
        <f>D4+D5+D6+D7+D8+D9+D10</f>
        <v>16821</v>
      </c>
      <c r="E11" s="1"/>
      <c r="F11" s="1">
        <f>E10-E11</f>
        <v>179</v>
      </c>
      <c r="G11" s="1"/>
      <c r="H11" s="1"/>
      <c r="I11" s="2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2"/>
    </row>
    <row r="13" spans="1:9" x14ac:dyDescent="0.25">
      <c r="A13" s="1" t="s">
        <v>17</v>
      </c>
      <c r="B13" s="1"/>
      <c r="C13" s="1"/>
      <c r="D13" s="1"/>
      <c r="E13" s="1"/>
      <c r="F13" s="1"/>
      <c r="G13" s="1"/>
      <c r="H13" s="1"/>
      <c r="I13" s="2"/>
    </row>
    <row r="14" spans="1:9" x14ac:dyDescent="0.25">
      <c r="A14" s="1" t="s">
        <v>18</v>
      </c>
      <c r="B14" s="1"/>
      <c r="C14" s="1"/>
      <c r="D14" s="1"/>
      <c r="E14" s="1"/>
      <c r="F14" s="1"/>
      <c r="G14" s="1"/>
      <c r="H14" s="1"/>
      <c r="I14" s="2"/>
    </row>
    <row r="15" spans="1:9" x14ac:dyDescent="0.25">
      <c r="A15" s="1" t="s">
        <v>19</v>
      </c>
      <c r="B15" s="1"/>
      <c r="C15" s="1"/>
      <c r="D15" s="1"/>
      <c r="E15" s="1"/>
      <c r="F15" s="1"/>
      <c r="G15" s="1"/>
      <c r="H15" s="1"/>
      <c r="I15" s="2"/>
    </row>
    <row r="16" spans="1:9" x14ac:dyDescent="0.25">
      <c r="A16" s="1" t="s">
        <v>20</v>
      </c>
      <c r="B16" s="1"/>
      <c r="C16" s="1"/>
      <c r="D16" s="1"/>
      <c r="E16" s="1"/>
      <c r="F16" s="1"/>
      <c r="G16" s="1"/>
      <c r="H16" s="1"/>
      <c r="I16" s="2"/>
    </row>
    <row r="17" spans="1:9" x14ac:dyDescent="0.25">
      <c r="A17" s="1" t="s">
        <v>21</v>
      </c>
      <c r="B17" s="1"/>
      <c r="C17" s="1" t="s">
        <v>16</v>
      </c>
      <c r="D17" s="1"/>
      <c r="E17" s="1"/>
      <c r="F17" s="1"/>
      <c r="G17" s="1"/>
      <c r="H17" s="1"/>
      <c r="I17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5" baseType="lpstr">
      <vt:lpstr>Planilha1</vt:lpstr>
      <vt:lpstr>A999999999999999999</vt:lpstr>
      <vt:lpstr>AAAAAAAA1048576</vt:lpstr>
      <vt:lpstr>ZZZZ</vt:lpstr>
      <vt:lpstr>ZZZZZZ1048576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Nicollas Cardoso Cavalcante Correia</dc:creator>
  <cp:lastModifiedBy>Nicollas Cardoso Cavalcante Correia</cp:lastModifiedBy>
  <dcterms:created xsi:type="dcterms:W3CDTF">2022-03-28T19:38:49Z</dcterms:created>
  <dcterms:modified xsi:type="dcterms:W3CDTF">2022-04-12T18:02:02Z</dcterms:modified>
</cp:coreProperties>
</file>